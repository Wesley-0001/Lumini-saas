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sley.Cruz\Documents\wes\lumini Tropa do mal\"/>
    </mc:Choice>
  </mc:AlternateContent>
  <xr:revisionPtr revIDLastSave="0" documentId="13_ncr:1_{0A924114-C55F-4B34-984A-350121CB60E3}" xr6:coauthVersionLast="47" xr6:coauthVersionMax="47" xr10:uidLastSave="{00000000-0000-0000-0000-000000000000}"/>
  <bookViews>
    <workbookView xWindow="-120" yWindow="-120" windowWidth="29040" windowHeight="16440" xr2:uid="{5009EE4E-2034-41DC-8854-E6572B632AA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64" i="1" l="1"/>
  <c r="J63" i="1"/>
  <c r="J62" i="1"/>
  <c r="J61" i="1"/>
  <c r="J60" i="1"/>
  <c r="J59" i="1"/>
  <c r="J58" i="1"/>
  <c r="J57" i="1"/>
  <c r="J56" i="1"/>
  <c r="J55" i="1"/>
  <c r="J54" i="1"/>
  <c r="J53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<sst xmlns="http://schemas.openxmlformats.org/spreadsheetml/2006/main" count="201" uniqueCount="101">
  <si>
    <t>MATRÍCULA</t>
  </si>
  <si>
    <t>COLABORADOR</t>
  </si>
  <si>
    <t>SITUAÇÃO</t>
  </si>
  <si>
    <t>JORNADA</t>
  </si>
  <si>
    <t>MATRIZ</t>
  </si>
  <si>
    <t>CARGO</t>
  </si>
  <si>
    <t>HORÁRIO</t>
  </si>
  <si>
    <t>LÍDER</t>
  </si>
  <si>
    <t>ADMISSÃO</t>
  </si>
  <si>
    <t>DIAS DE CONTRATO</t>
  </si>
  <si>
    <t>DEMISSÃO</t>
  </si>
  <si>
    <t>NASCIMENTO</t>
  </si>
  <si>
    <t>CLT</t>
  </si>
  <si>
    <t>DESLIGADO</t>
  </si>
  <si>
    <t>PJ</t>
  </si>
  <si>
    <t>BRUNA VIEIRA DA SILVA</t>
  </si>
  <si>
    <t>IGOR LIMA BORGES</t>
  </si>
  <si>
    <t>RONALDO DOS SANTOS RAMOS</t>
  </si>
  <si>
    <t xml:space="preserve">VITOR CLAUDINO FIGALDO </t>
  </si>
  <si>
    <t>DIEGO SILVA DE FREITAS ROCHA</t>
  </si>
  <si>
    <t>RODOLFO ALVES</t>
  </si>
  <si>
    <t>DAIANA MATOS DA SILVA</t>
  </si>
  <si>
    <t>LUCAS BORGES JUNIOR</t>
  </si>
  <si>
    <t>LUCAS ARAUJO MANTOVANI</t>
  </si>
  <si>
    <t>CAIO FELIPE FERNANDES SILVA</t>
  </si>
  <si>
    <t>TIAGO PIRES DE SOUSA</t>
  </si>
  <si>
    <t>GERMANA DA SILVA PONTES</t>
  </si>
  <si>
    <t>CARLOS EDUARDO SILVA</t>
  </si>
  <si>
    <t>LEONARDO APARECIDO DOS SANTOS CALHEIROS</t>
  </si>
  <si>
    <t>LUCAS  RODRIGUES  DA SILVA</t>
  </si>
  <si>
    <t>HÉLCIO  PACHECO DA SILVA</t>
  </si>
  <si>
    <t>GUSTAVO SOUZA NASCIMENTO</t>
  </si>
  <si>
    <t>CARLOS EDUARDO SOUZA ROCHA</t>
  </si>
  <si>
    <t>MURILLO RIBEIRO MENESES</t>
  </si>
  <si>
    <t>ANA BEATRIZ DE SÁ</t>
  </si>
  <si>
    <t>BRUNO MESQUITA DOS REIS</t>
  </si>
  <si>
    <t xml:space="preserve"> GUILHERME DO SACRAMENTO MOREIRA</t>
  </si>
  <si>
    <t xml:space="preserve">DIEGO CICERO DE SOUZA MACIEL </t>
  </si>
  <si>
    <t>YAGO GIGLIO DE OLIVEIRA</t>
  </si>
  <si>
    <t>LUCAS ARAUJO ROCHA</t>
  </si>
  <si>
    <t>KAUE LIMA SILVA</t>
  </si>
  <si>
    <t>GABRIEL DA SILVA LEANDRO</t>
  </si>
  <si>
    <t xml:space="preserve">DIEGO OLIVEIRA SOUSA </t>
  </si>
  <si>
    <t>DIEGO SANTOS PEREIRA</t>
  </si>
  <si>
    <t xml:space="preserve">GABRIEL DA SILVA SOUZA </t>
  </si>
  <si>
    <t>WENDEL ROCHA LOCKMAN</t>
  </si>
  <si>
    <t xml:space="preserve">LEON DOS SANTOS SILVA </t>
  </si>
  <si>
    <t>TIAGO ALEXANDRE QUEIRÓS</t>
  </si>
  <si>
    <t xml:space="preserve">GUILHERME SOUZA DA SILVA </t>
  </si>
  <si>
    <t>GUILHERME NASCIMENTO CARDOSO DOS SANTOS</t>
  </si>
  <si>
    <t>FERNANDO DOMINGOS MACARIO</t>
  </si>
  <si>
    <t>SAMUEL DE CARVALHO BANDEZ</t>
  </si>
  <si>
    <t xml:space="preserve">CARLOS HENRIQUE PIRES DE LIMA </t>
  </si>
  <si>
    <t xml:space="preserve">DAVI CUNHA ALVES DE ARAÚJO </t>
  </si>
  <si>
    <t xml:space="preserve"> MATEUS GABRIEL PEREIRA DE OLIVEIRA </t>
  </si>
  <si>
    <t>SOPHIA CAVICHIA DA SILVA</t>
  </si>
  <si>
    <t>ELIETE VIEIRA PEREIRA DE SOUZA</t>
  </si>
  <si>
    <t>BRUNO VINICIOS DOS SANTOS BARBOZA</t>
  </si>
  <si>
    <t>ANDERSON PEREIRA DE LIMA</t>
  </si>
  <si>
    <t xml:space="preserve">JEFFERSON DA SILVA ANDRADE </t>
  </si>
  <si>
    <t xml:space="preserve">NICKOLAS GABRIEL DOS SANTOS OLIVEIRA </t>
  </si>
  <si>
    <t>MIHARA LORRANA MEDEIROS RODRIGUES</t>
  </si>
  <si>
    <t>ROSEMEIRE HALCSICK</t>
  </si>
  <si>
    <t>FERNANDO HENRIQUE SIQUEIRA DE SOUZA</t>
  </si>
  <si>
    <t>ANDERSON DOS SANTOS SILVA</t>
  </si>
  <si>
    <t>HUDSON SEVERINO MONTAIA</t>
  </si>
  <si>
    <t>VINICIUS DE SOUSA LIMA</t>
  </si>
  <si>
    <t>ARTHUR MAXIMO DA SILVA</t>
  </si>
  <si>
    <t>LUCAS COELHO SÃO PAULO</t>
  </si>
  <si>
    <t>LUAN JESUS DOS SANTOS</t>
  </si>
  <si>
    <t>MARCELLO SOUZA REIS</t>
  </si>
  <si>
    <t xml:space="preserve">MIGUEL MESSI ALVES MACEDO </t>
  </si>
  <si>
    <t xml:space="preserve">CRISTIAN AUGUSTO SOUZA MARQUES </t>
  </si>
  <si>
    <t>CLAUDINEIA DE CASTRO SIQUEIRA GUEDES</t>
  </si>
  <si>
    <t>DANIEL SOARES PEREIRA</t>
  </si>
  <si>
    <t>SIMONE LOPES SENA</t>
  </si>
  <si>
    <t>TONI CARLOS CONCEIÇÃO AMORIM</t>
  </si>
  <si>
    <t>HUGO AUGUSTO DOS SANTOS SILVA</t>
  </si>
  <si>
    <t>ASSISTENTE ADMINISTRATIVO DE RH</t>
  </si>
  <si>
    <t>SUPERVISOR DE IMPRESSÃO</t>
  </si>
  <si>
    <t>OPERADOR DE CALANDRA 1</t>
  </si>
  <si>
    <t>OFICIAL DE MANUTENÇÃO PREDIAL</t>
  </si>
  <si>
    <t>AUX. DE LIMPEZA</t>
  </si>
  <si>
    <t>AJUDANTE DE PRODUÇÃO</t>
  </si>
  <si>
    <t>IMPRESSOR 1</t>
  </si>
  <si>
    <t>REVISOR 1</t>
  </si>
  <si>
    <t>ANALISTA ADM RH</t>
  </si>
  <si>
    <t>GERENTE</t>
  </si>
  <si>
    <t>IMPRESSOR DIGITAL II</t>
  </si>
  <si>
    <t>SUPERVISOR DE PRODUÇÃO</t>
  </si>
  <si>
    <t>AJUDANTE DE EXPEDIÇÃO 2</t>
  </si>
  <si>
    <t>ASSISTENTE DE RH</t>
  </si>
  <si>
    <t xml:space="preserve">IMPRESSOR 1 </t>
  </si>
  <si>
    <t>GERENTE DE PRODUÇÃO</t>
  </si>
  <si>
    <t>ASSISTENTE PCP</t>
  </si>
  <si>
    <t>ASSISTENTE DE PCP</t>
  </si>
  <si>
    <t>ASSISTENTE RH</t>
  </si>
  <si>
    <t>SUPERVISORA DE RH/DP</t>
  </si>
  <si>
    <t>AUXILIAR DE PCP</t>
  </si>
  <si>
    <t>AUXILIAR DE LIMPEZA</t>
  </si>
  <si>
    <t>SUPERVISOR DE DEPTO PESSOAL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</si>
</sst>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7">
    <font>
      <sz val="11"/>
      <color theme="1"/>
      <name val="Calibri"/>
      <family val="2"/>
      <scheme val="minor"/>
    </font>
    <font>
      <b/>
      <sz val="10"/>
      <color theme="1" tint="0.14999847407452621"/>
      <name val="Arial"/>
      <family val="2"/>
    </font>
    <font>
      <sz val="10"/>
      <color theme="1" tint="0.14999847407452621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5C8299"/>
        <bgColor indexed="64"/>
      </patternFill>
    </fill>
    <fill>
      <patternFill patternType="solid">
        <fgColor rgb="FFEB9C5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164" fontId="1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14" fontId="3" fillId="5" borderId="3" xfId="0" applyNumberFormat="1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14" fontId="3" fillId="0" borderId="4" xfId="0" applyNumberFormat="1" applyFont="1" applyBorder="1" applyAlignment="1">
      <alignment horizontal="center" vertical="center"/>
    </xf>
    <xf numFmtId="14" fontId="3" fillId="4" borderId="4" xfId="0" applyNumberFormat="1" applyFont="1" applyFill="1" applyBorder="1" applyAlignment="1">
      <alignment horizontal="center" vertical="center"/>
    </xf>
    <xf numFmtId="3" fontId="3" fillId="0" borderId="4" xfId="0" applyNumberFormat="1" applyFont="1" applyBorder="1" applyAlignment="1">
      <alignment horizontal="center" vertical="center"/>
    </xf>
    <xf numFmtId="49" fontId="3" fillId="5" borderId="4" xfId="0" applyNumberFormat="1" applyFont="1" applyFill="1" applyBorder="1" applyAlignment="1">
      <alignment horizontal="center" vertical="center"/>
    </xf>
    <xf numFmtId="3" fontId="3" fillId="5" borderId="4" xfId="0" applyNumberFormat="1" applyFont="1" applyFill="1" applyBorder="1" applyAlignment="1">
      <alignment horizontal="center" vertical="center"/>
    </xf>
    <xf numFmtId="14" fontId="3" fillId="5" borderId="4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5" fillId="0" borderId="4" xfId="0" applyNumberFormat="1" applyFon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14" fontId="0" fillId="4" borderId="4" xfId="0" applyNumberForma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4" borderId="4" xfId="0" applyFill="1" applyBorder="1" applyAlignment="1">
      <alignment vertical="center"/>
    </xf>
  </cellXfs>
  <cellStyles count="1">
    <cellStyle name="Normal" xfId="0" builtinId="0"/>
  </cellStyles>
  <dxfs count="15">
    <dxf>
      <numFmt numFmtId="30" formatCode="@"/>
      <fill>
        <patternFill>
          <bgColor theme="7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auto="1"/>
      </font>
      <fill>
        <patternFill>
          <bgColor rgb="FFFF7C8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0" formatCode="@"/>
      <fill>
        <patternFill>
          <bgColor theme="7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u/>
        <color rgb="FFFFD7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u val="double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u/>
        <color rgb="FFFFD7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u val="double"/>
        <color rgb="FFC00000"/>
      </font>
      <fill>
        <patternFill patternType="solid"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0" formatCode="@"/>
      <fill>
        <patternFill>
          <bgColor theme="7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5ACF4-DE5D-4D3C-9208-6DFA18A52F1C}">
  <dimension ref="A1:L64"/>
  <sheetViews>
    <sheetView tabSelected="1" workbookViewId="0">
      <selection activeCell="F10" sqref="F10"/>
    </sheetView>
  </sheetViews>
  <sheetFormatPr defaultColWidth="58.28515625" defaultRowHeight="15"/>
  <cols>
    <col min="1" max="1" width="15.7109375" style="14" bestFit="1" customWidth="1"/>
    <col min="2" max="2" width="38" style="22" customWidth="1"/>
    <col min="3" max="3" width="15.140625" style="7" bestFit="1" customWidth="1"/>
    <col min="4" max="4" width="14.42578125" style="7" bestFit="1" customWidth="1"/>
    <col min="5" max="5" width="12.42578125" style="7" bestFit="1" customWidth="1"/>
    <col min="6" max="6" width="38.140625" style="7" bestFit="1" customWidth="1"/>
    <col min="7" max="7" width="40.28515625" style="7" bestFit="1" customWidth="1"/>
    <col min="8" max="8" width="21.28515625" style="7" bestFit="1" customWidth="1"/>
    <col min="9" max="9" width="14.28515625" style="15" customWidth="1"/>
    <col min="10" max="10" width="19.28515625" style="17" bestFit="1" customWidth="1"/>
    <col min="11" max="11" width="21.85546875" style="15" bestFit="1" customWidth="1"/>
    <col min="12" max="12" width="21.85546875" style="16" customWidth="1"/>
    <col min="13" max="16384" width="58.28515625" style="8"/>
  </cols>
  <sheetData>
    <row r="1" spans="1:12" s="5" customFormat="1" ht="26.25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3" t="s">
        <v>10</v>
      </c>
      <c r="L1" s="4" t="s">
        <v>11</v>
      </c>
    </row>
    <row r="2" spans="1:12" s="13" customFormat="1">
      <c r="A2" s="6">
        <v>1</v>
      </c>
      <c r="B2" s="21" t="s">
        <v>15</v>
      </c>
      <c r="C2" s="29" t="s">
        <v>13</v>
      </c>
      <c r="D2" s="7"/>
      <c r="E2" s="8"/>
      <c r="F2" s="38" t="s">
        <v>78</v>
      </c>
      <c r="G2" s="8"/>
      <c r="H2" s="9"/>
      <c r="I2" s="33">
        <v>45889</v>
      </c>
      <c r="J2" s="10">
        <f ca="1">IF(K2&lt;&gt;"",K2-I2,TODAY()-I2)</f>
        <v>233</v>
      </c>
      <c r="K2" s="11"/>
      <c r="L2" s="33">
        <v>33743</v>
      </c>
    </row>
    <row r="3" spans="1:12">
      <c r="A3" s="14">
        <v>2</v>
      </c>
      <c r="B3" s="21" t="s">
        <v>16</v>
      </c>
      <c r="C3" s="21" t="s">
        <v>12</v>
      </c>
      <c r="E3" s="8"/>
      <c r="F3" s="38" t="s">
        <v>79</v>
      </c>
      <c r="G3" s="8"/>
      <c r="I3" s="33">
        <v>45877</v>
      </c>
      <c r="J3" s="10">
        <f ca="1">IF(K3&lt;&gt;"",K3-I3,TODAY()-I3)</f>
        <v>245</v>
      </c>
      <c r="L3" s="33">
        <v>36386</v>
      </c>
    </row>
    <row r="4" spans="1:12">
      <c r="A4" s="6">
        <v>3</v>
      </c>
      <c r="B4" s="21" t="s">
        <v>17</v>
      </c>
      <c r="C4" s="21" t="s">
        <v>12</v>
      </c>
      <c r="E4" s="8"/>
      <c r="F4" s="38" t="s">
        <v>80</v>
      </c>
      <c r="G4" s="18"/>
      <c r="I4" s="33">
        <v>45876</v>
      </c>
      <c r="J4" s="10">
        <f ca="1">IF(K4&lt;&gt;"",K4-I4,TODAY()-I4)</f>
        <v>246</v>
      </c>
      <c r="L4" s="33">
        <v>35249</v>
      </c>
    </row>
    <row r="5" spans="1:12">
      <c r="A5" s="14">
        <v>4</v>
      </c>
      <c r="B5" s="21" t="s">
        <v>18</v>
      </c>
      <c r="C5" s="30" t="s">
        <v>13</v>
      </c>
      <c r="E5" s="8"/>
      <c r="F5" s="38" t="s">
        <v>80</v>
      </c>
      <c r="G5" s="8"/>
      <c r="I5" s="33">
        <v>45875</v>
      </c>
      <c r="J5" s="10">
        <f ca="1">IF(K5&lt;&gt;"",K5-I5,TODAY()-I5)</f>
        <v>247</v>
      </c>
      <c r="L5" s="33">
        <v>37256</v>
      </c>
    </row>
    <row r="6" spans="1:12">
      <c r="A6" s="6">
        <v>5</v>
      </c>
      <c r="B6" s="21" t="s">
        <v>19</v>
      </c>
      <c r="C6" s="21" t="s">
        <v>12</v>
      </c>
      <c r="E6" s="8"/>
      <c r="F6" s="38" t="s">
        <v>81</v>
      </c>
      <c r="G6" s="8"/>
      <c r="I6" s="33">
        <v>45887</v>
      </c>
      <c r="J6" s="10">
        <f ca="1">IF(K6&lt;&gt;"",K6-I6,TODAY()-I6)</f>
        <v>235</v>
      </c>
      <c r="K6" s="20"/>
      <c r="L6" s="33">
        <v>34981</v>
      </c>
    </row>
    <row r="7" spans="1:12">
      <c r="A7" s="14">
        <v>6</v>
      </c>
      <c r="B7" s="22" t="s">
        <v>20</v>
      </c>
      <c r="C7" s="21" t="s">
        <v>12</v>
      </c>
      <c r="E7" s="8"/>
      <c r="F7" s="38" t="s">
        <v>80</v>
      </c>
      <c r="G7" s="8"/>
      <c r="I7" s="33">
        <v>45890</v>
      </c>
      <c r="J7" s="20"/>
      <c r="K7" s="20"/>
      <c r="L7" s="33">
        <v>32070</v>
      </c>
    </row>
    <row r="8" spans="1:12">
      <c r="A8" s="6">
        <v>7</v>
      </c>
      <c r="B8" s="21" t="s">
        <v>21</v>
      </c>
      <c r="C8" s="30" t="s">
        <v>13</v>
      </c>
      <c r="E8" s="8"/>
      <c r="F8" s="38" t="s">
        <v>82</v>
      </c>
      <c r="G8" s="8"/>
      <c r="I8" s="33">
        <v>45894</v>
      </c>
      <c r="J8" s="10">
        <f t="shared" ref="J8:J51" ca="1" si="0">IF(K8&lt;&gt;"",K8-I8,TODAY()-I8)</f>
        <v>228</v>
      </c>
      <c r="L8" s="33">
        <v>31296</v>
      </c>
    </row>
    <row r="9" spans="1:12">
      <c r="A9" s="14">
        <v>8</v>
      </c>
      <c r="B9" s="21" t="s">
        <v>22</v>
      </c>
      <c r="C9" s="30" t="s">
        <v>13</v>
      </c>
      <c r="E9" s="8"/>
      <c r="F9" s="38" t="s">
        <v>83</v>
      </c>
      <c r="G9" s="8"/>
      <c r="I9" s="33">
        <v>45894</v>
      </c>
      <c r="J9" s="10">
        <f t="shared" ca="1" si="0"/>
        <v>228</v>
      </c>
      <c r="L9" s="33">
        <v>32786</v>
      </c>
    </row>
    <row r="10" spans="1:12">
      <c r="A10" s="6">
        <v>9</v>
      </c>
      <c r="B10" s="21" t="s">
        <v>23</v>
      </c>
      <c r="C10" s="21" t="s">
        <v>12</v>
      </c>
      <c r="E10" s="8"/>
      <c r="F10" s="38" t="s">
        <v>84</v>
      </c>
      <c r="G10" s="8"/>
      <c r="I10" s="33">
        <v>45895</v>
      </c>
      <c r="J10" s="10">
        <f t="shared" ca="1" si="0"/>
        <v>227</v>
      </c>
      <c r="L10" s="33">
        <v>34494</v>
      </c>
    </row>
    <row r="11" spans="1:12">
      <c r="A11" s="14">
        <v>10</v>
      </c>
      <c r="B11" s="23" t="s">
        <v>24</v>
      </c>
      <c r="C11" s="21" t="s">
        <v>12</v>
      </c>
      <c r="E11" s="8"/>
      <c r="F11" s="38" t="s">
        <v>85</v>
      </c>
      <c r="G11" s="8"/>
      <c r="I11" s="33">
        <v>45896</v>
      </c>
      <c r="J11" s="10">
        <f t="shared" ca="1" si="0"/>
        <v>226</v>
      </c>
      <c r="L11" s="33">
        <v>35072</v>
      </c>
    </row>
    <row r="12" spans="1:12">
      <c r="A12" s="6">
        <v>11</v>
      </c>
      <c r="B12" s="21" t="s">
        <v>25</v>
      </c>
      <c r="C12" s="21" t="s">
        <v>12</v>
      </c>
      <c r="E12" s="8"/>
      <c r="F12" s="38" t="s">
        <v>85</v>
      </c>
      <c r="G12" s="8"/>
      <c r="I12" s="33">
        <v>45896</v>
      </c>
      <c r="J12" s="10">
        <f t="shared" ca="1" si="0"/>
        <v>226</v>
      </c>
      <c r="K12" s="20"/>
      <c r="L12" s="33">
        <v>33323</v>
      </c>
    </row>
    <row r="13" spans="1:12">
      <c r="A13" s="14">
        <v>12</v>
      </c>
      <c r="B13" s="21" t="s">
        <v>26</v>
      </c>
      <c r="C13" s="30" t="s">
        <v>13</v>
      </c>
      <c r="E13" s="8"/>
      <c r="F13" s="38" t="s">
        <v>86</v>
      </c>
      <c r="G13" s="8"/>
      <c r="I13" s="21"/>
      <c r="J13" s="10">
        <f t="shared" ca="1" si="0"/>
        <v>46122</v>
      </c>
      <c r="L13" s="33">
        <v>34242</v>
      </c>
    </row>
    <row r="14" spans="1:12">
      <c r="A14" s="6">
        <v>13</v>
      </c>
      <c r="B14" s="21" t="s">
        <v>27</v>
      </c>
      <c r="C14" s="21" t="s">
        <v>14</v>
      </c>
      <c r="E14" s="8"/>
      <c r="F14" s="38" t="s">
        <v>87</v>
      </c>
      <c r="G14" s="8"/>
      <c r="I14" s="21"/>
      <c r="J14" s="10">
        <f t="shared" ca="1" si="0"/>
        <v>46122</v>
      </c>
      <c r="L14" s="33"/>
    </row>
    <row r="15" spans="1:12">
      <c r="A15" s="14">
        <v>14</v>
      </c>
      <c r="B15" s="21" t="s">
        <v>28</v>
      </c>
      <c r="C15" s="21" t="s">
        <v>12</v>
      </c>
      <c r="E15" s="8"/>
      <c r="F15" s="38" t="s">
        <v>85</v>
      </c>
      <c r="G15" s="8"/>
      <c r="I15" s="33">
        <v>45905</v>
      </c>
      <c r="J15" s="10">
        <f t="shared" ca="1" si="0"/>
        <v>217</v>
      </c>
      <c r="K15" s="20"/>
      <c r="L15" s="33">
        <v>34836</v>
      </c>
    </row>
    <row r="16" spans="1:12">
      <c r="A16" s="6">
        <v>15</v>
      </c>
      <c r="B16" s="24" t="s">
        <v>29</v>
      </c>
      <c r="C16" s="21" t="s">
        <v>12</v>
      </c>
      <c r="E16" s="8"/>
      <c r="F16" s="38" t="s">
        <v>88</v>
      </c>
      <c r="G16" s="8"/>
      <c r="I16" s="34">
        <v>45902</v>
      </c>
      <c r="J16" s="10">
        <f t="shared" ca="1" si="0"/>
        <v>220</v>
      </c>
      <c r="L16" s="34">
        <v>38036</v>
      </c>
    </row>
    <row r="17" spans="1:12">
      <c r="A17" s="14">
        <v>16</v>
      </c>
      <c r="B17" s="24" t="s">
        <v>30</v>
      </c>
      <c r="C17" s="21" t="s">
        <v>12</v>
      </c>
      <c r="E17" s="8"/>
      <c r="F17" s="38" t="s">
        <v>89</v>
      </c>
      <c r="G17" s="8"/>
      <c r="I17" s="33">
        <v>45909</v>
      </c>
      <c r="J17" s="10">
        <f t="shared" ca="1" si="0"/>
        <v>213</v>
      </c>
      <c r="L17" s="33">
        <v>28021</v>
      </c>
    </row>
    <row r="18" spans="1:12">
      <c r="A18" s="6">
        <v>17</v>
      </c>
      <c r="B18" s="25" t="s">
        <v>31</v>
      </c>
      <c r="C18" s="25" t="s">
        <v>12</v>
      </c>
      <c r="E18" s="8"/>
      <c r="F18" s="39" t="s">
        <v>89</v>
      </c>
      <c r="G18" s="8"/>
      <c r="I18" s="35">
        <v>45909</v>
      </c>
      <c r="J18" s="10">
        <f t="shared" ca="1" si="0"/>
        <v>213</v>
      </c>
      <c r="K18" s="20"/>
      <c r="L18" s="35">
        <v>38172</v>
      </c>
    </row>
    <row r="19" spans="1:12">
      <c r="A19" s="14">
        <v>18</v>
      </c>
      <c r="B19" s="25" t="s">
        <v>32</v>
      </c>
      <c r="C19" s="25" t="s">
        <v>12</v>
      </c>
      <c r="E19" s="8"/>
      <c r="F19" s="39" t="s">
        <v>90</v>
      </c>
      <c r="G19" s="8"/>
      <c r="I19" s="35">
        <v>45912</v>
      </c>
      <c r="J19" s="10">
        <f t="shared" ca="1" si="0"/>
        <v>210</v>
      </c>
      <c r="L19" s="35">
        <v>36607</v>
      </c>
    </row>
    <row r="20" spans="1:12">
      <c r="A20" s="6">
        <v>19</v>
      </c>
      <c r="B20" s="21" t="s">
        <v>33</v>
      </c>
      <c r="C20" s="21" t="s">
        <v>12</v>
      </c>
      <c r="E20" s="8"/>
      <c r="F20" s="38" t="s">
        <v>84</v>
      </c>
      <c r="G20" s="8"/>
      <c r="I20" s="33">
        <v>45915</v>
      </c>
      <c r="J20" s="10">
        <f t="shared" ca="1" si="0"/>
        <v>207</v>
      </c>
      <c r="L20" s="33">
        <v>38496</v>
      </c>
    </row>
    <row r="21" spans="1:12">
      <c r="A21" s="14">
        <v>20</v>
      </c>
      <c r="B21" s="21" t="s">
        <v>34</v>
      </c>
      <c r="C21" s="21" t="s">
        <v>12</v>
      </c>
      <c r="E21" s="8"/>
      <c r="F21" s="38" t="s">
        <v>91</v>
      </c>
      <c r="G21" s="8"/>
      <c r="I21" s="33">
        <v>45915</v>
      </c>
      <c r="J21" s="10">
        <f t="shared" ca="1" si="0"/>
        <v>207</v>
      </c>
      <c r="L21" s="33">
        <v>37195</v>
      </c>
    </row>
    <row r="22" spans="1:12">
      <c r="A22" s="6">
        <v>21</v>
      </c>
      <c r="B22" s="21" t="s">
        <v>35</v>
      </c>
      <c r="C22" s="30" t="s">
        <v>13</v>
      </c>
      <c r="E22" s="8"/>
      <c r="F22" s="38" t="s">
        <v>83</v>
      </c>
      <c r="G22" s="8"/>
      <c r="I22" s="33">
        <v>45917</v>
      </c>
      <c r="J22" s="10">
        <f t="shared" ca="1" si="0"/>
        <v>205</v>
      </c>
      <c r="K22" s="20"/>
      <c r="L22" s="33">
        <v>34481</v>
      </c>
    </row>
    <row r="23" spans="1:12">
      <c r="A23" s="14">
        <v>22</v>
      </c>
      <c r="B23" s="21" t="s">
        <v>36</v>
      </c>
      <c r="C23" s="30" t="s">
        <v>13</v>
      </c>
      <c r="E23" s="8"/>
      <c r="F23" s="38" t="s">
        <v>80</v>
      </c>
      <c r="G23" s="8"/>
      <c r="I23" s="33">
        <v>45916</v>
      </c>
      <c r="J23" s="10">
        <f t="shared" ca="1" si="0"/>
        <v>206</v>
      </c>
      <c r="L23" s="33">
        <v>32509</v>
      </c>
    </row>
    <row r="24" spans="1:12">
      <c r="A24" s="6">
        <v>23</v>
      </c>
      <c r="B24" s="21" t="s">
        <v>37</v>
      </c>
      <c r="C24" s="21" t="s">
        <v>12</v>
      </c>
      <c r="E24" s="8"/>
      <c r="F24" s="38" t="s">
        <v>80</v>
      </c>
      <c r="G24" s="8"/>
      <c r="I24" s="33">
        <v>45918</v>
      </c>
      <c r="J24" s="10">
        <f t="shared" ca="1" si="0"/>
        <v>204</v>
      </c>
      <c r="K24" s="20"/>
      <c r="L24" s="33">
        <v>34827</v>
      </c>
    </row>
    <row r="25" spans="1:12">
      <c r="A25" s="14">
        <v>24</v>
      </c>
      <c r="B25" s="21" t="s">
        <v>38</v>
      </c>
      <c r="C25" s="21" t="s">
        <v>12</v>
      </c>
      <c r="E25" s="8"/>
      <c r="F25" s="38" t="s">
        <v>80</v>
      </c>
      <c r="G25" s="8"/>
      <c r="I25" s="33">
        <v>45922</v>
      </c>
      <c r="J25" s="10">
        <f t="shared" ca="1" si="0"/>
        <v>200</v>
      </c>
      <c r="L25" s="33">
        <v>35459</v>
      </c>
    </row>
    <row r="26" spans="1:12">
      <c r="A26" s="6">
        <v>25</v>
      </c>
      <c r="B26" s="21" t="s">
        <v>39</v>
      </c>
      <c r="C26" s="21" t="s">
        <v>12</v>
      </c>
      <c r="E26" s="8"/>
      <c r="F26" s="38" t="s">
        <v>80</v>
      </c>
      <c r="G26" s="8"/>
      <c r="I26" s="33">
        <v>45922</v>
      </c>
      <c r="J26" s="10">
        <f t="shared" ca="1" si="0"/>
        <v>200</v>
      </c>
      <c r="K26" s="20"/>
      <c r="L26" s="33">
        <v>37681</v>
      </c>
    </row>
    <row r="27" spans="1:12">
      <c r="A27" s="14">
        <v>26</v>
      </c>
      <c r="B27" s="21" t="s">
        <v>40</v>
      </c>
      <c r="C27" s="21" t="s">
        <v>12</v>
      </c>
      <c r="E27" s="8"/>
      <c r="F27" s="38" t="s">
        <v>89</v>
      </c>
      <c r="G27" s="8"/>
      <c r="I27" s="33">
        <v>45922</v>
      </c>
      <c r="J27" s="10">
        <f t="shared" ca="1" si="0"/>
        <v>200</v>
      </c>
      <c r="K27" s="20"/>
      <c r="L27" s="33">
        <v>34666</v>
      </c>
    </row>
    <row r="28" spans="1:12">
      <c r="A28" s="6">
        <v>27</v>
      </c>
      <c r="B28" s="21" t="s">
        <v>41</v>
      </c>
      <c r="C28" s="21" t="s">
        <v>12</v>
      </c>
      <c r="E28" s="8"/>
      <c r="F28" s="38" t="s">
        <v>85</v>
      </c>
      <c r="G28" s="8"/>
      <c r="I28" s="33">
        <v>45925</v>
      </c>
      <c r="J28" s="10">
        <f t="shared" ca="1" si="0"/>
        <v>197</v>
      </c>
      <c r="L28" s="33">
        <v>38028</v>
      </c>
    </row>
    <row r="29" spans="1:12">
      <c r="A29" s="14">
        <v>28</v>
      </c>
      <c r="B29" s="21" t="s">
        <v>42</v>
      </c>
      <c r="C29" s="30" t="s">
        <v>13</v>
      </c>
      <c r="E29" s="8"/>
      <c r="F29" s="38" t="s">
        <v>80</v>
      </c>
      <c r="G29" s="8"/>
      <c r="I29" s="33">
        <v>45924</v>
      </c>
      <c r="J29" s="10">
        <f t="shared" ca="1" si="0"/>
        <v>198</v>
      </c>
      <c r="K29" s="20"/>
      <c r="L29" s="33">
        <v>33241</v>
      </c>
    </row>
    <row r="30" spans="1:12">
      <c r="A30" s="6">
        <v>29</v>
      </c>
      <c r="B30" s="21" t="s">
        <v>43</v>
      </c>
      <c r="C30" s="30" t="s">
        <v>13</v>
      </c>
      <c r="E30" s="8"/>
      <c r="F30" s="38" t="s">
        <v>83</v>
      </c>
      <c r="G30" s="8"/>
      <c r="I30" s="33">
        <v>45926</v>
      </c>
      <c r="J30" s="10">
        <f t="shared" ca="1" si="0"/>
        <v>196</v>
      </c>
      <c r="L30" s="33">
        <v>32068</v>
      </c>
    </row>
    <row r="31" spans="1:12">
      <c r="A31" s="14">
        <v>30</v>
      </c>
      <c r="B31" s="21" t="s">
        <v>44</v>
      </c>
      <c r="C31" s="30" t="s">
        <v>13</v>
      </c>
      <c r="E31" s="8"/>
      <c r="F31" s="38" t="s">
        <v>83</v>
      </c>
      <c r="G31" s="8"/>
      <c r="I31" s="33">
        <v>45926</v>
      </c>
      <c r="J31" s="10">
        <f t="shared" ca="1" si="0"/>
        <v>196</v>
      </c>
      <c r="K31" s="16"/>
      <c r="L31" s="33">
        <v>37970</v>
      </c>
    </row>
    <row r="32" spans="1:12">
      <c r="A32" s="6">
        <v>31</v>
      </c>
      <c r="B32" s="21" t="s">
        <v>45</v>
      </c>
      <c r="C32" s="21" t="s">
        <v>12</v>
      </c>
      <c r="E32" s="8"/>
      <c r="F32" s="38" t="s">
        <v>84</v>
      </c>
      <c r="G32" s="8"/>
      <c r="I32" s="33">
        <v>45930</v>
      </c>
      <c r="J32" s="10">
        <f t="shared" ca="1" si="0"/>
        <v>192</v>
      </c>
      <c r="K32" s="20"/>
      <c r="L32" s="33">
        <v>35095</v>
      </c>
    </row>
    <row r="33" spans="1:12">
      <c r="A33" s="14">
        <v>32</v>
      </c>
      <c r="B33" s="21" t="s">
        <v>46</v>
      </c>
      <c r="C33" s="29" t="s">
        <v>13</v>
      </c>
      <c r="E33" s="8"/>
      <c r="F33" s="38" t="s">
        <v>83</v>
      </c>
      <c r="G33" s="8"/>
      <c r="I33" s="33">
        <v>45930</v>
      </c>
      <c r="J33" s="10">
        <f t="shared" ca="1" si="0"/>
        <v>192</v>
      </c>
      <c r="L33" s="33">
        <v>34559</v>
      </c>
    </row>
    <row r="34" spans="1:12">
      <c r="A34" s="6">
        <v>33</v>
      </c>
      <c r="B34" s="21" t="s">
        <v>47</v>
      </c>
      <c r="C34" s="31" t="s">
        <v>13</v>
      </c>
      <c r="E34" s="8"/>
      <c r="F34" s="38" t="s">
        <v>89</v>
      </c>
      <c r="G34" s="8"/>
      <c r="I34" s="33">
        <v>45932</v>
      </c>
      <c r="J34" s="10">
        <f t="shared" ca="1" si="0"/>
        <v>190</v>
      </c>
      <c r="L34" s="33">
        <v>30315</v>
      </c>
    </row>
    <row r="35" spans="1:12">
      <c r="A35" s="14">
        <v>34</v>
      </c>
      <c r="B35" s="21" t="s">
        <v>48</v>
      </c>
      <c r="C35" s="21" t="s">
        <v>12</v>
      </c>
      <c r="E35" s="8"/>
      <c r="F35" s="38" t="s">
        <v>85</v>
      </c>
      <c r="G35" s="8"/>
      <c r="I35" s="33">
        <v>45936</v>
      </c>
      <c r="J35" s="10">
        <f t="shared" ca="1" si="0"/>
        <v>186</v>
      </c>
      <c r="L35" s="33">
        <v>37646</v>
      </c>
    </row>
    <row r="36" spans="1:12">
      <c r="A36" s="6">
        <v>35</v>
      </c>
      <c r="B36" s="25" t="s">
        <v>49</v>
      </c>
      <c r="C36" s="25" t="s">
        <v>12</v>
      </c>
      <c r="E36" s="8"/>
      <c r="F36" s="39" t="s">
        <v>90</v>
      </c>
      <c r="G36" s="8"/>
      <c r="I36" s="35">
        <v>45938</v>
      </c>
      <c r="J36" s="10">
        <f t="shared" ca="1" si="0"/>
        <v>184</v>
      </c>
      <c r="K36" s="20"/>
      <c r="L36" s="35">
        <v>38005</v>
      </c>
    </row>
    <row r="37" spans="1:12">
      <c r="A37" s="14">
        <v>36</v>
      </c>
      <c r="B37" s="25" t="s">
        <v>50</v>
      </c>
      <c r="C37" s="25" t="s">
        <v>12</v>
      </c>
      <c r="E37" s="8"/>
      <c r="F37" s="39" t="s">
        <v>92</v>
      </c>
      <c r="G37" s="8"/>
      <c r="I37" s="35">
        <v>45938</v>
      </c>
      <c r="J37" s="10">
        <f t="shared" ca="1" si="0"/>
        <v>184</v>
      </c>
      <c r="L37" s="35">
        <v>32683</v>
      </c>
    </row>
    <row r="38" spans="1:12">
      <c r="A38" s="6">
        <v>37</v>
      </c>
      <c r="B38" s="21" t="s">
        <v>51</v>
      </c>
      <c r="C38" s="25" t="s">
        <v>12</v>
      </c>
      <c r="E38" s="8"/>
      <c r="F38" s="38" t="s">
        <v>93</v>
      </c>
      <c r="G38" s="8"/>
      <c r="I38" s="33">
        <v>45940</v>
      </c>
      <c r="J38" s="10">
        <f t="shared" ca="1" si="0"/>
        <v>182</v>
      </c>
      <c r="L38" s="33">
        <v>33641</v>
      </c>
    </row>
    <row r="39" spans="1:12">
      <c r="A39" s="14">
        <v>38</v>
      </c>
      <c r="B39" s="21" t="s">
        <v>52</v>
      </c>
      <c r="C39" s="21" t="s">
        <v>12</v>
      </c>
      <c r="E39" s="8"/>
      <c r="F39" s="38" t="s">
        <v>80</v>
      </c>
      <c r="G39" s="8"/>
      <c r="I39" s="33">
        <v>45939</v>
      </c>
      <c r="J39" s="10">
        <f t="shared" ca="1" si="0"/>
        <v>183</v>
      </c>
      <c r="L39" s="33">
        <v>33939</v>
      </c>
    </row>
    <row r="40" spans="1:12">
      <c r="A40" s="6">
        <v>39</v>
      </c>
      <c r="B40" s="25" t="s">
        <v>53</v>
      </c>
      <c r="C40" s="25" t="s">
        <v>12</v>
      </c>
      <c r="E40" s="8"/>
      <c r="F40" s="39" t="s">
        <v>85</v>
      </c>
      <c r="G40" s="8"/>
      <c r="I40" s="35">
        <v>45939</v>
      </c>
      <c r="J40" s="10">
        <f t="shared" ca="1" si="0"/>
        <v>183</v>
      </c>
      <c r="L40" s="35">
        <v>37875</v>
      </c>
    </row>
    <row r="41" spans="1:12">
      <c r="A41" s="14">
        <v>40</v>
      </c>
      <c r="B41" s="25" t="s">
        <v>54</v>
      </c>
      <c r="C41" s="25" t="s">
        <v>12</v>
      </c>
      <c r="E41" s="8"/>
      <c r="F41" s="39" t="s">
        <v>80</v>
      </c>
      <c r="G41" s="8"/>
      <c r="I41" s="35">
        <v>45939</v>
      </c>
      <c r="J41" s="10">
        <f t="shared" ca="1" si="0"/>
        <v>183</v>
      </c>
      <c r="L41" s="35">
        <v>36374</v>
      </c>
    </row>
    <row r="42" spans="1:12">
      <c r="A42" s="6">
        <v>41</v>
      </c>
      <c r="B42" s="25" t="s">
        <v>55</v>
      </c>
      <c r="C42" s="30" t="s">
        <v>13</v>
      </c>
      <c r="E42" s="8"/>
      <c r="F42" s="39" t="s">
        <v>94</v>
      </c>
      <c r="G42" s="8"/>
      <c r="I42" s="35">
        <v>45945</v>
      </c>
      <c r="J42" s="10">
        <f t="shared" ca="1" si="0"/>
        <v>177</v>
      </c>
      <c r="L42" s="35">
        <v>38656</v>
      </c>
    </row>
    <row r="43" spans="1:12">
      <c r="A43" s="14">
        <v>42</v>
      </c>
      <c r="B43" s="21" t="s">
        <v>56</v>
      </c>
      <c r="C43" s="31" t="s">
        <v>13</v>
      </c>
      <c r="E43" s="8"/>
      <c r="F43" s="38" t="s">
        <v>82</v>
      </c>
      <c r="G43" s="8"/>
      <c r="I43" s="33">
        <v>45951</v>
      </c>
      <c r="J43" s="10">
        <f t="shared" ca="1" si="0"/>
        <v>171</v>
      </c>
      <c r="K43" s="20"/>
      <c r="L43" s="33">
        <v>24550</v>
      </c>
    </row>
    <row r="44" spans="1:12">
      <c r="A44" s="6">
        <v>43</v>
      </c>
      <c r="B44" s="25" t="s">
        <v>57</v>
      </c>
      <c r="C44" s="32" t="s">
        <v>13</v>
      </c>
      <c r="E44" s="8"/>
      <c r="F44" s="39" t="s">
        <v>84</v>
      </c>
      <c r="G44" s="8"/>
      <c r="H44" s="9"/>
      <c r="I44" s="35">
        <v>45950</v>
      </c>
      <c r="J44" s="10">
        <f t="shared" ca="1" si="0"/>
        <v>172</v>
      </c>
      <c r="K44" s="20"/>
      <c r="L44" s="35">
        <v>34942</v>
      </c>
    </row>
    <row r="45" spans="1:12">
      <c r="A45" s="14">
        <v>44</v>
      </c>
      <c r="B45" s="25" t="s">
        <v>58</v>
      </c>
      <c r="C45" s="25" t="s">
        <v>12</v>
      </c>
      <c r="E45" s="8"/>
      <c r="F45" s="39" t="s">
        <v>85</v>
      </c>
      <c r="G45" s="8"/>
      <c r="I45" s="35">
        <v>45950</v>
      </c>
      <c r="J45" s="10">
        <f t="shared" ca="1" si="0"/>
        <v>172</v>
      </c>
      <c r="K45" s="20"/>
      <c r="L45" s="35">
        <v>34405</v>
      </c>
    </row>
    <row r="46" spans="1:12">
      <c r="A46" s="6">
        <v>45</v>
      </c>
      <c r="B46" s="21" t="s">
        <v>59</v>
      </c>
      <c r="C46" s="21" t="s">
        <v>12</v>
      </c>
      <c r="E46" s="8"/>
      <c r="F46" s="39" t="s">
        <v>85</v>
      </c>
      <c r="G46" s="8"/>
      <c r="I46" s="33">
        <v>45952</v>
      </c>
      <c r="J46" s="10">
        <f t="shared" ca="1" si="0"/>
        <v>170</v>
      </c>
      <c r="L46" s="33">
        <v>36387</v>
      </c>
    </row>
    <row r="47" spans="1:12">
      <c r="A47" s="14">
        <v>46</v>
      </c>
      <c r="B47" s="21" t="s">
        <v>60</v>
      </c>
      <c r="C47" s="32" t="s">
        <v>13</v>
      </c>
      <c r="E47" s="8"/>
      <c r="F47" s="38" t="s">
        <v>95</v>
      </c>
      <c r="G47" s="8"/>
      <c r="I47" s="33">
        <v>45953</v>
      </c>
      <c r="J47" s="10">
        <f t="shared" ca="1" si="0"/>
        <v>169</v>
      </c>
      <c r="K47" s="20"/>
      <c r="L47" s="33">
        <v>37816</v>
      </c>
    </row>
    <row r="48" spans="1:12">
      <c r="A48" s="6">
        <v>47</v>
      </c>
      <c r="B48" s="21" t="s">
        <v>61</v>
      </c>
      <c r="C48" s="32" t="s">
        <v>13</v>
      </c>
      <c r="E48" s="8"/>
      <c r="F48" s="38" t="s">
        <v>96</v>
      </c>
      <c r="G48" s="8"/>
      <c r="I48" s="33">
        <v>45957</v>
      </c>
      <c r="J48" s="10">
        <f t="shared" ca="1" si="0"/>
        <v>165</v>
      </c>
      <c r="K48" s="20"/>
      <c r="L48" s="33">
        <v>35589</v>
      </c>
    </row>
    <row r="49" spans="1:12">
      <c r="A49" s="14">
        <v>48</v>
      </c>
      <c r="B49" s="26" t="s">
        <v>62</v>
      </c>
      <c r="C49" s="32" t="s">
        <v>13</v>
      </c>
      <c r="E49" s="8"/>
      <c r="F49" s="40" t="s">
        <v>97</v>
      </c>
      <c r="G49" s="18"/>
      <c r="I49" s="36">
        <v>45974</v>
      </c>
      <c r="J49" s="10">
        <f t="shared" ca="1" si="0"/>
        <v>148</v>
      </c>
      <c r="L49" s="36">
        <v>24566</v>
      </c>
    </row>
    <row r="50" spans="1:12">
      <c r="A50" s="6">
        <v>49</v>
      </c>
      <c r="B50" s="21" t="s">
        <v>63</v>
      </c>
      <c r="C50" s="32" t="s">
        <v>13</v>
      </c>
      <c r="E50" s="8"/>
      <c r="F50" s="38" t="s">
        <v>83</v>
      </c>
      <c r="G50" s="8"/>
      <c r="I50" s="33">
        <v>45961</v>
      </c>
      <c r="J50" s="10">
        <f t="shared" ca="1" si="0"/>
        <v>161</v>
      </c>
      <c r="K50" s="20"/>
      <c r="L50" s="33">
        <v>33769</v>
      </c>
    </row>
    <row r="51" spans="1:12">
      <c r="A51" s="14">
        <v>50</v>
      </c>
      <c r="B51" s="21" t="s">
        <v>64</v>
      </c>
      <c r="C51" s="21" t="s">
        <v>12</v>
      </c>
      <c r="E51" s="8"/>
      <c r="F51" s="38" t="s">
        <v>83</v>
      </c>
      <c r="G51" s="18"/>
      <c r="I51" s="33">
        <v>45966</v>
      </c>
      <c r="J51" s="10">
        <f t="shared" ca="1" si="0"/>
        <v>156</v>
      </c>
      <c r="L51" s="33">
        <v>34479</v>
      </c>
    </row>
    <row r="52" spans="1:12" s="12" customFormat="1">
      <c r="A52" s="6">
        <v>51</v>
      </c>
      <c r="B52" s="26" t="s">
        <v>65</v>
      </c>
      <c r="C52" s="21" t="s">
        <v>12</v>
      </c>
      <c r="D52" s="7"/>
      <c r="E52" s="8"/>
      <c r="F52" s="38" t="s">
        <v>83</v>
      </c>
      <c r="G52" s="8"/>
      <c r="H52" s="7"/>
      <c r="I52" s="35">
        <v>45990</v>
      </c>
      <c r="J52" s="19"/>
      <c r="K52" s="15"/>
      <c r="L52" s="37">
        <v>38866</v>
      </c>
    </row>
    <row r="53" spans="1:12">
      <c r="A53" s="14">
        <v>52</v>
      </c>
      <c r="B53" s="26" t="s">
        <v>66</v>
      </c>
      <c r="C53" s="21" t="s">
        <v>12</v>
      </c>
      <c r="E53" s="8"/>
      <c r="F53" s="38" t="s">
        <v>83</v>
      </c>
      <c r="G53" s="8"/>
      <c r="I53" s="33">
        <v>45990</v>
      </c>
      <c r="J53" s="10">
        <f ca="1">IF(K53&lt;&gt;"",K53-I53,TODAY()-I53)</f>
        <v>132</v>
      </c>
      <c r="L53" s="33">
        <v>36463</v>
      </c>
    </row>
    <row r="54" spans="1:12" s="12" customFormat="1">
      <c r="A54" s="6">
        <v>53</v>
      </c>
      <c r="B54" s="27" t="s">
        <v>67</v>
      </c>
      <c r="C54" s="25" t="s">
        <v>12</v>
      </c>
      <c r="D54" s="7"/>
      <c r="E54" s="8"/>
      <c r="F54" s="39" t="s">
        <v>98</v>
      </c>
      <c r="G54" s="8"/>
      <c r="H54" s="7"/>
      <c r="I54" s="35">
        <v>46000</v>
      </c>
      <c r="J54" s="10">
        <f ca="1">IF(K54&lt;&gt;"",K54-I54,TODAY()-I54)</f>
        <v>122</v>
      </c>
      <c r="K54" s="15"/>
      <c r="L54" s="35">
        <v>39390</v>
      </c>
    </row>
    <row r="55" spans="1:12">
      <c r="A55" s="14">
        <v>54</v>
      </c>
      <c r="B55" s="21" t="s">
        <v>68</v>
      </c>
      <c r="C55" s="29" t="s">
        <v>13</v>
      </c>
      <c r="E55" s="8"/>
      <c r="F55" s="38" t="s">
        <v>83</v>
      </c>
      <c r="G55" s="8"/>
      <c r="I55" s="33">
        <v>46001</v>
      </c>
      <c r="J55" s="10">
        <f ca="1">IF(K55&lt;&gt;"",K55-I55,TODAY()-I55)</f>
        <v>121</v>
      </c>
      <c r="L55" s="33">
        <v>38092</v>
      </c>
    </row>
    <row r="56" spans="1:12">
      <c r="A56" s="6">
        <v>55</v>
      </c>
      <c r="B56" s="21" t="s">
        <v>69</v>
      </c>
      <c r="C56" s="21" t="s">
        <v>12</v>
      </c>
      <c r="E56" s="8"/>
      <c r="F56" s="38" t="s">
        <v>83</v>
      </c>
      <c r="G56" s="8"/>
      <c r="I56" s="33">
        <v>46003</v>
      </c>
      <c r="J56" s="10">
        <f ca="1">IF(K56&lt;&gt;"",K56-I56,TODAY()-I56)</f>
        <v>119</v>
      </c>
      <c r="L56" s="33">
        <v>34997</v>
      </c>
    </row>
    <row r="57" spans="1:12">
      <c r="A57" s="14">
        <v>56</v>
      </c>
      <c r="B57" s="21" t="s">
        <v>70</v>
      </c>
      <c r="C57" s="21" t="s">
        <v>12</v>
      </c>
      <c r="E57" s="8"/>
      <c r="F57" s="38" t="s">
        <v>83</v>
      </c>
      <c r="G57" s="8"/>
      <c r="I57" s="33">
        <v>46045</v>
      </c>
      <c r="J57" s="10">
        <f ca="1">IF(K57&lt;&gt;"",K57-I57,TODAY()-I57)</f>
        <v>77</v>
      </c>
      <c r="K57" s="20"/>
      <c r="L57" s="33">
        <v>36493</v>
      </c>
    </row>
    <row r="58" spans="1:12">
      <c r="A58" s="6">
        <v>57</v>
      </c>
      <c r="B58" s="21" t="s">
        <v>71</v>
      </c>
      <c r="C58" s="21" t="s">
        <v>12</v>
      </c>
      <c r="E58" s="8"/>
      <c r="F58" s="38" t="s">
        <v>83</v>
      </c>
      <c r="G58" s="8"/>
      <c r="I58" s="33">
        <v>46049</v>
      </c>
      <c r="J58" s="17">
        <f ca="1">TODAY()-I58</f>
        <v>73</v>
      </c>
      <c r="K58" s="20"/>
      <c r="L58" s="33">
        <v>39400</v>
      </c>
    </row>
    <row r="59" spans="1:12">
      <c r="A59" s="14">
        <v>58</v>
      </c>
      <c r="B59" s="25" t="s">
        <v>72</v>
      </c>
      <c r="C59" s="32" t="s">
        <v>13</v>
      </c>
      <c r="E59" s="8"/>
      <c r="F59" s="39" t="s">
        <v>83</v>
      </c>
      <c r="G59" s="8"/>
      <c r="I59" s="35">
        <v>46057</v>
      </c>
      <c r="J59" s="10">
        <f t="shared" ref="J59:J64" ca="1" si="1">IF(K59&lt;&gt;"",K59-I59,TODAY()-I59)</f>
        <v>65</v>
      </c>
      <c r="K59" s="20"/>
      <c r="L59" s="35">
        <v>37376</v>
      </c>
    </row>
    <row r="60" spans="1:12">
      <c r="A60" s="6">
        <v>59</v>
      </c>
      <c r="B60" s="25" t="s">
        <v>73</v>
      </c>
      <c r="C60" s="25" t="s">
        <v>12</v>
      </c>
      <c r="E60" s="8"/>
      <c r="F60" s="39" t="s">
        <v>99</v>
      </c>
      <c r="G60" s="8"/>
      <c r="I60" s="35">
        <v>46087</v>
      </c>
      <c r="J60" s="10">
        <f t="shared" ca="1" si="1"/>
        <v>35</v>
      </c>
      <c r="L60" s="35">
        <v>18572</v>
      </c>
    </row>
    <row r="61" spans="1:12">
      <c r="A61" s="14">
        <v>60</v>
      </c>
      <c r="B61" s="25" t="s">
        <v>74</v>
      </c>
      <c r="C61" s="25" t="s">
        <v>12</v>
      </c>
      <c r="E61" s="8"/>
      <c r="F61" s="39" t="s">
        <v>89</v>
      </c>
      <c r="G61" s="8"/>
      <c r="I61" s="35">
        <v>46097</v>
      </c>
      <c r="J61" s="10">
        <f t="shared" ca="1" si="1"/>
        <v>25</v>
      </c>
      <c r="K61" s="20"/>
      <c r="L61" s="35">
        <v>36247</v>
      </c>
    </row>
    <row r="62" spans="1:12">
      <c r="A62" s="6">
        <v>61</v>
      </c>
      <c r="B62" s="21" t="s">
        <v>75</v>
      </c>
      <c r="C62" s="21" t="s">
        <v>12</v>
      </c>
      <c r="E62" s="8"/>
      <c r="F62" s="38" t="s">
        <v>100</v>
      </c>
      <c r="G62" s="8"/>
      <c r="I62" s="33">
        <v>46098</v>
      </c>
      <c r="J62" s="10">
        <f t="shared" ca="1" si="1"/>
        <v>24</v>
      </c>
      <c r="L62" s="33">
        <v>26583</v>
      </c>
    </row>
    <row r="63" spans="1:12">
      <c r="A63" s="14">
        <v>62</v>
      </c>
      <c r="B63" s="28" t="s">
        <v>76</v>
      </c>
      <c r="C63" s="21" t="s">
        <v>12</v>
      </c>
      <c r="E63" s="8"/>
      <c r="F63" s="38" t="s">
        <v>89</v>
      </c>
      <c r="G63" s="8"/>
      <c r="I63" s="33">
        <v>46104</v>
      </c>
      <c r="J63" s="10">
        <f t="shared" ca="1" si="1"/>
        <v>18</v>
      </c>
      <c r="L63" s="33">
        <v>31259</v>
      </c>
    </row>
    <row r="64" spans="1:12">
      <c r="A64" s="6">
        <v>63</v>
      </c>
      <c r="B64" s="21" t="s">
        <v>77</v>
      </c>
      <c r="C64" s="21" t="s">
        <v>12</v>
      </c>
      <c r="E64" s="8"/>
      <c r="F64" s="38" t="s">
        <v>83</v>
      </c>
      <c r="G64" s="8"/>
      <c r="I64" s="33">
        <v>46105</v>
      </c>
      <c r="J64" s="10">
        <f t="shared" ca="1" si="1"/>
        <v>17</v>
      </c>
      <c r="K64" s="20"/>
      <c r="L64" s="33">
        <v>38327</v>
      </c>
    </row>
  </sheetData>
  <conditionalFormatting sqref="E1:F1 E2:E54 E58:E64">
    <cfRule type="cellIs" dxfId="14" priority="13" operator="equal">
      <formula>"NT-JX"</formula>
    </cfRule>
    <cfRule type="cellIs" dxfId="13" priority="14" operator="equal">
      <formula>"NT-CH"</formula>
    </cfRule>
    <cfRule type="cellIs" dxfId="12" priority="15" operator="equal">
      <formula>"NT"</formula>
    </cfRule>
  </conditionalFormatting>
  <conditionalFormatting sqref="J2:J6 J8:J1048576">
    <cfRule type="cellIs" dxfId="11" priority="9" operator="between">
      <formula>80</formula>
      <formula>90</formula>
    </cfRule>
    <cfRule type="cellIs" dxfId="10" priority="10" operator="between">
      <formula>46</formula>
      <formula>79</formula>
    </cfRule>
    <cfRule type="cellIs" dxfId="9" priority="11" operator="between">
      <formula>35</formula>
      <formula>45</formula>
    </cfRule>
    <cfRule type="cellIs" dxfId="8" priority="12" operator="between">
      <formula>1</formula>
      <formula>34</formula>
    </cfRule>
  </conditionalFormatting>
  <conditionalFormatting sqref="E55:E57">
    <cfRule type="cellIs" dxfId="7" priority="6" operator="equal">
      <formula>"NT-JX"</formula>
    </cfRule>
    <cfRule type="cellIs" dxfId="6" priority="7" operator="equal">
      <formula>"NT-CH"</formula>
    </cfRule>
    <cfRule type="cellIs" dxfId="5" priority="8" operator="equal">
      <formula>"NT"</formula>
    </cfRule>
  </conditionalFormatting>
  <conditionalFormatting sqref="J2:J1048576">
    <cfRule type="cellIs" dxfId="4" priority="4" operator="greaterThan">
      <formula>375</formula>
    </cfRule>
    <cfRule type="cellIs" dxfId="3" priority="5" operator="between">
      <formula>355</formula>
      <formula>375</formula>
    </cfRule>
  </conditionalFormatting>
  <dataValidations count="3">
    <dataValidation type="list" allowBlank="1" showInputMessage="1" showErrorMessage="1" sqref="H2:H1048576" xr:uid="{1D9E933D-36D6-41D7-B09F-B63D2291507F}">
      <formula1>#REF!</formula1>
    </dataValidation>
    <dataValidation type="list" allowBlank="1" showInputMessage="1" showErrorMessage="1" sqref="G2:G3 G50 G5:G48 G52:G64 E2:E64" xr:uid="{BBBF28A6-CB19-405A-BF14-B60B795BBF5D}">
      <formula1>#REF!</formula1>
    </dataValidation>
    <dataValidation type="list" showInputMessage="1" showErrorMessage="1" sqref="E45 E55:E57 E62:E63 E48:E49 E33:E34 E36:E41 E8:E9 E4:E6 E51:E53 E14:E21 E23 E25 E28 E30:E31 E59:E60 C2:C64 D2:D64" xr:uid="{406AFA6C-ED9B-486A-B3B6-A3A93F208208}">
      <formula1>#REF!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Wesley Vitor Souza Cruz</dc:creator>
  <cp:lastModifiedBy>Wesley Vitor Souza Cruz</cp:lastModifiedBy>
  <cp:lastPrinted>2026-03-27T12:06:39Z</cp:lastPrinted>
  <dcterms:created xsi:type="dcterms:W3CDTF">2026-03-27T11:39:28Z</dcterms:created>
  <dcterms:modified xsi:type="dcterms:W3CDTF">2026-04-10T18:00:31Z</dcterms:modified>
</cp:coreProperties>
</file>